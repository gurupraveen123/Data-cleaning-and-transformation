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58adf18382aa636d/Desktop/Entri/1_Assignments - Excel/"/>
    </mc:Choice>
  </mc:AlternateContent>
  <xr:revisionPtr revIDLastSave="183" documentId="8_{2A572C66-2B4B-47FF-B2FC-077A38C4EFC3}" xr6:coauthVersionLast="47" xr6:coauthVersionMax="47" xr10:uidLastSave="{2A086634-2FB3-49C6-9443-DD20B5B20EA8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J11" i="3" l="1"/>
  <c r="J3" i="3"/>
  <c r="J4" i="3"/>
  <c r="J5" i="3"/>
  <c r="J6" i="3"/>
  <c r="J7" i="3"/>
  <c r="J8" i="3"/>
  <c r="J9" i="3"/>
  <c r="J10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2" i="3"/>
  <c r="I24" i="3"/>
  <c r="I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5" i="3"/>
  <c r="I26" i="3"/>
  <c r="I27" i="3"/>
  <c r="I28" i="3"/>
  <c r="I29" i="3"/>
  <c r="I30" i="3"/>
  <c r="I31" i="3"/>
  <c r="I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2" i="3"/>
  <c r="B40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</calcChain>
</file>

<file path=xl/sharedStrings.xml><?xml version="1.0" encoding="utf-8"?>
<sst xmlns="http://schemas.openxmlformats.org/spreadsheetml/2006/main" count="296" uniqueCount="129">
  <si>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</si>
  <si>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</si>
  <si>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</si>
  <si>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</si>
  <si>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</si>
  <si>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</si>
  <si>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</si>
  <si>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</si>
  <si>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</si>
  <si>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</si>
  <si>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</si>
  <si>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</si>
  <si>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</si>
  <si>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</si>
  <si>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</si>
  <si>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</si>
  <si>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</si>
  <si>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</si>
  <si>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</si>
  <si>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</si>
  <si>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</si>
  <si>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</si>
  <si>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</si>
  <si>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</si>
  <si>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</si>
  <si>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</si>
  <si>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</si>
  <si>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</si>
  <si>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</si>
  <si>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</si>
  <si>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</si>
  <si>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</si>
  <si>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</si>
  <si>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</si>
  <si>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</si>
  <si>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</si>
  <si>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</si>
  <si>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</si>
  <si>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</si>
  <si>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</si>
  <si>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</si>
  <si>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</si>
  <si>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</si>
  <si>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</si>
  <si>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</si>
  <si>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</si>
  <si>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</si>
  <si>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</si>
  <si>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</si>
  <si>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</si>
  <si>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</si>
  <si>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</si>
  <si>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</si>
  <si>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</si>
  <si>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</si>
  <si>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</si>
  <si>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</si>
  <si>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</si>
  <si>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</si>
  <si>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</si>
  <si>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</si>
  <si>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</si>
  <si>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</si>
  <si>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</si>
  <si>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</si>
  <si>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</si>
  <si>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</si>
  <si>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</si>
  <si>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</si>
  <si>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</si>
  <si>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</si>
  <si>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</si>
  <si>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</si>
  <si>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</si>
  <si>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</si>
  <si>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</si>
  <si>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</si>
  <si>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</si>
  <si>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</si>
  <si>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</si>
  <si>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</si>
  <si>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</si>
  <si>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</si>
  <si>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</si>
  <si>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</si>
  <si>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</si>
  <si>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</si>
  <si>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</si>
  <si>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</si>
  <si>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</si>
  <si>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</si>
  <si>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</si>
  <si>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</si>
  <si>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</si>
  <si>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</si>
  <si>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</si>
  <si>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</si>
  <si>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</si>
  <si>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</si>
  <si>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</si>
  <si>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</si>
  <si>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</si>
  <si>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</si>
  <si>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</si>
  <si>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</si>
  <si>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</si>
  <si>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</si>
  <si>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</si>
  <si>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</si>
  <si>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</si>
  <si>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</si>
  <si>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</si>
  <si>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</si>
  <si>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</si>
  <si>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</si>
  <si>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</si>
  <si>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 xml:space="preserve">Blank cell -price  </t>
  </si>
  <si>
    <t>Question 1</t>
  </si>
  <si>
    <t xml:space="preserve">count blank </t>
  </si>
  <si>
    <t>Since price can be vary according to brand product name and category we cant replace price with a number. We can replace it with text like "UNKNOWN" but since this is a text this can affect further calculations. But if removing blank cells is necessary we can use IF(ISBLANK)</t>
  </si>
  <si>
    <t xml:space="preserve">Price-handling blank cells </t>
  </si>
  <si>
    <t>Question 2</t>
  </si>
  <si>
    <t xml:space="preserve">Category-handling blank cells </t>
  </si>
  <si>
    <t xml:space="preserve"> We can highlight blank cells using conditional formatting.</t>
  </si>
  <si>
    <t xml:space="preserve">Inconcistency in product name column is the format of names </t>
  </si>
  <si>
    <t>Inconcistency in category column  is spelling errors - can be solved using review --&gt; spelling</t>
  </si>
  <si>
    <t xml:space="preserve">Manufacturind date </t>
  </si>
  <si>
    <t xml:space="preserve">Country code 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</si>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</sst>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dd/mm/yyyy;@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12"/>
      <name val="Times New Roman"/>
      <family val="1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rgb="FF4DD0E1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7" fillId="4" borderId="0" xfId="0" applyFont="1" applyFill="1" applyAlignment="1">
      <alignment horizontal="center"/>
    </xf>
    <xf numFmtId="0" fontId="0" fillId="5" borderId="0" xfId="0" applyFill="1"/>
    <xf numFmtId="0" fontId="7" fillId="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6" borderId="0" xfId="0" applyFill="1"/>
    <xf numFmtId="0" fontId="9" fillId="0" borderId="0" xfId="0" applyFont="1"/>
    <xf numFmtId="0" fontId="9" fillId="7" borderId="0" xfId="0" applyFont="1" applyFill="1"/>
    <xf numFmtId="0" fontId="8" fillId="3" borderId="0" xfId="0" applyFont="1" applyFill="1"/>
    <xf numFmtId="0" fontId="8" fillId="0" borderId="0" xfId="0" applyFont="1"/>
    <xf numFmtId="164" fontId="5" fillId="0" borderId="0" xfId="0" applyNumberFormat="1" applyFont="1"/>
    <xf numFmtId="164" fontId="5" fillId="3" borderId="0" xfId="0" applyNumberFormat="1" applyFont="1" applyFill="1"/>
    <xf numFmtId="165" fontId="0" fillId="0" borderId="0" xfId="0" applyNumberFormat="1"/>
    <xf numFmtId="0" fontId="11" fillId="0" borderId="0" xfId="0" applyFont="1"/>
    <xf numFmtId="0" fontId="12" fillId="0" borderId="0" xfId="0" applyFont="1"/>
    <xf numFmtId="0" fontId="9" fillId="7" borderId="0" xfId="0" applyFont="1" applyFill="1" applyAlignment="1">
      <alignment horizontal="right"/>
    </xf>
    <xf numFmtId="0" fontId="10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5" borderId="0" xfId="0" applyFont="1" applyFill="1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10">
    <dxf>
      <fill>
        <patternFill>
          <bgColor rgb="FFFFFF00"/>
        </patternFill>
      </fill>
    </dxf>
    <dxf>
      <fill>
        <patternFill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1B57D6-1541-47DE-887B-83C81AED8FB1}" name="Table1" displayName="Table1" ref="A1:F35" totalsRowShown="0" headerRowDxfId="9" dataDxfId="8">
  <autoFilter ref="A1:F35" xr:uid="{231B57D6-1541-47DE-887B-83C81AED8FB1}"/>
  <tableColumns count="6">
    <tableColumn id="1" xr3:uid="{0B438E33-1CB2-4BE6-8A1F-2B49C727E487}" name="Product ID" dataDxfId="7"/>
    <tableColumn id="2" xr3:uid="{4FAFF87C-B8D5-4DF1-B07F-72C20AFB33E8}" name="Product Name" dataDxfId="6"/>
    <tableColumn id="3" xr3:uid="{EE9CE851-96A5-458A-B8BB-1FA4D0DCEBF7}" name="Brand Name" dataDxfId="5"/>
    <tableColumn id="4" xr3:uid="{15776119-F8AA-479D-9857-A22CD46007AD}" name="Price ($)" dataDxfId="4"/>
    <tableColumn id="5" xr3:uid="{79CFCEA2-82B4-44EC-963B-C4C1C29C955C}" name="Quantity" dataDxfId="3"/>
    <tableColumn id="6" xr3:uid="{C2099CE7-2C3A-4F7F-A6B6-68E6C7DA6BDD}" name="Catego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B9" workbookViewId="0">
      <selection activeCell="E26" sqref="E26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">
      <c r="C4" s="3" t="s">
        <v>2</v>
      </c>
    </row>
    <row r="5" spans="1:11" ht="15.75" customHeight="1" x14ac:dyDescent="0.3">
      <c r="B5" s="4"/>
      <c r="C5" s="3" t="s">
        <v>3</v>
      </c>
    </row>
    <row r="6" spans="1:11" ht="15.75" customHeight="1" x14ac:dyDescent="0.3">
      <c r="B6" s="4"/>
    </row>
    <row r="7" spans="1:11" ht="15.75" customHeight="1" x14ac:dyDescent="0.3">
      <c r="B7" s="2" t="s">
        <v>4</v>
      </c>
    </row>
    <row r="8" spans="1:11" ht="15.75" customHeight="1" x14ac:dyDescent="0.3">
      <c r="C8" s="3" t="s">
        <v>5</v>
      </c>
    </row>
    <row r="9" spans="1:11" ht="15.75" customHeight="1" x14ac:dyDescent="0.3">
      <c r="C9" s="3" t="s">
        <v>6</v>
      </c>
    </row>
    <row r="10" spans="1:11" ht="15.75" customHeight="1" x14ac:dyDescent="0.3">
      <c r="C10" s="3" t="s">
        <v>7</v>
      </c>
    </row>
    <row r="11" spans="1:11" ht="15.75" customHeight="1" x14ac:dyDescent="0.3">
      <c r="B11" s="4"/>
    </row>
    <row r="12" spans="1:11" ht="15.75" customHeight="1" x14ac:dyDescent="0.3">
      <c r="B12" s="2" t="s">
        <v>8</v>
      </c>
    </row>
    <row r="13" spans="1:11" ht="15.75" customHeight="1" x14ac:dyDescent="0.3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21" t="s">
        <v>15</v>
      </c>
      <c r="D21" s="22"/>
      <c r="E21" s="22"/>
      <c r="F21" s="22"/>
      <c r="G21" s="22"/>
      <c r="H21" s="22"/>
      <c r="I21" s="22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zoomScale="95" workbookViewId="0">
      <selection activeCell="B19" sqref="B19"/>
    </sheetView>
  </sheetViews>
  <sheetFormatPr defaultColWidth="12.6640625" defaultRowHeight="15" customHeight="1" x14ac:dyDescent="0.25"/>
  <cols>
    <col min="1" max="1" width="15.21875" bestFit="1" customWidth="1"/>
    <col min="2" max="2" width="18.5546875" bestFit="1" customWidth="1"/>
    <col min="3" max="3" width="16.88671875" bestFit="1" customWidth="1"/>
    <col min="4" max="4" width="13" bestFit="1" customWidth="1"/>
    <col min="5" max="5" width="13.21875" bestFit="1" customWidth="1"/>
    <col min="6" max="6" width="13.88671875" bestFit="1" customWidth="1"/>
  </cols>
  <sheetData>
    <row r="1" spans="1:16" ht="15.75" customHeight="1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16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DFA50-D970-4E19-918B-132B7B2BF207}">
  <dimension ref="A1:M48"/>
  <sheetViews>
    <sheetView tabSelected="1" workbookViewId="0">
      <selection activeCell="H20" sqref="H20"/>
    </sheetView>
  </sheetViews>
  <sheetFormatPr defaultRowHeight="13.2" x14ac:dyDescent="0.25"/>
  <cols>
    <col min="1" max="1" width="10.77734375" bestFit="1" customWidth="1"/>
    <col min="2" max="2" width="13.6640625" bestFit="1" customWidth="1"/>
    <col min="3" max="3" width="11.77734375" bestFit="1" customWidth="1"/>
    <col min="4" max="4" width="9.109375" bestFit="1" customWidth="1"/>
    <col min="5" max="5" width="8.44140625" bestFit="1" customWidth="1"/>
    <col min="6" max="6" width="11" bestFit="1" customWidth="1"/>
    <col min="7" max="7" width="16.109375" style="25" bestFit="1" customWidth="1"/>
    <col min="8" max="8" width="25.21875" style="12" customWidth="1"/>
    <col min="9" max="9" width="27.77734375" style="25" bestFit="1" customWidth="1"/>
    <col min="10" max="10" width="17.33203125" bestFit="1" customWidth="1"/>
    <col min="11" max="11" width="12.5546875" style="12" bestFit="1" customWidth="1"/>
    <col min="12" max="12" width="21.44140625" bestFit="1" customWidth="1"/>
  </cols>
  <sheetData>
    <row r="1" spans="1:13" x14ac:dyDescent="0.25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  <c r="G1" s="26" t="s">
        <v>116</v>
      </c>
      <c r="H1" s="11" t="s">
        <v>120</v>
      </c>
      <c r="I1" s="24" t="s">
        <v>122</v>
      </c>
      <c r="J1" s="15" t="s">
        <v>126</v>
      </c>
      <c r="K1" s="23" t="s">
        <v>127</v>
      </c>
      <c r="L1" s="14" t="s">
        <v>128</v>
      </c>
      <c r="M1" s="14"/>
    </row>
    <row r="2" spans="1:13" x14ac:dyDescent="0.25">
      <c r="A2" s="5" t="s">
        <v>25</v>
      </c>
      <c r="B2" s="5" t="s">
        <v>61</v>
      </c>
      <c r="C2" s="5" t="s">
        <v>27</v>
      </c>
      <c r="D2" s="18">
        <v>1000</v>
      </c>
      <c r="E2" s="5">
        <v>30</v>
      </c>
      <c r="F2" s="5" t="s">
        <v>28</v>
      </c>
      <c r="G2" s="27" t="b">
        <f t="shared" ref="G2:G32" si="0">ISBLANK(D2)</f>
        <v>0</v>
      </c>
      <c r="H2" s="12">
        <f t="shared" ref="H2:H32" si="1">IF(ISBLANK(D2),"UNKNOWN",D2)</f>
        <v>1000</v>
      </c>
      <c r="I2" s="25" t="str">
        <f t="shared" ref="I2:I32" si="2">IF(ISBLANK(F2),"UNKNOWN",F2)</f>
        <v>Electronics</v>
      </c>
      <c r="J2" s="20">
        <f>DATEVALUE(LEFT(A2,6)&amp;"-2026")</f>
        <v>46050</v>
      </c>
      <c r="K2" s="12" t="str">
        <f>RIGHT(A2,2)</f>
        <v>US</v>
      </c>
      <c r="L2" t="str">
        <f>B2&amp;" "&amp;C2</f>
        <v>Laptop Dell</v>
      </c>
    </row>
    <row r="3" spans="1:13" ht="13.2" customHeight="1" x14ac:dyDescent="0.25">
      <c r="A3" s="8" t="s">
        <v>29</v>
      </c>
      <c r="B3" s="8" t="s">
        <v>30</v>
      </c>
      <c r="C3" s="8" t="s">
        <v>31</v>
      </c>
      <c r="D3" s="19">
        <v>80</v>
      </c>
      <c r="E3" s="8">
        <v>15</v>
      </c>
      <c r="F3" s="8" t="s">
        <v>32</v>
      </c>
      <c r="G3" s="27" t="b">
        <f t="shared" si="0"/>
        <v>0</v>
      </c>
      <c r="H3" s="12">
        <f t="shared" si="1"/>
        <v>80</v>
      </c>
      <c r="I3" s="25" t="str">
        <f t="shared" si="2"/>
        <v>Fashion</v>
      </c>
      <c r="J3" s="20">
        <f t="shared" ref="J3:J32" si="3">DATEVALUE(LEFT(A3,6)&amp;"-2026")</f>
        <v>46068</v>
      </c>
      <c r="K3" s="12" t="str">
        <f t="shared" ref="K3:K32" si="4">RIGHT(A3,2)</f>
        <v>US</v>
      </c>
      <c r="L3" t="str">
        <f t="shared" ref="L3:L32" si="5">B3&amp;" "&amp;C3</f>
        <v>Sneakers Nike</v>
      </c>
    </row>
    <row r="4" spans="1:13" x14ac:dyDescent="0.25">
      <c r="A4" s="5" t="s">
        <v>33</v>
      </c>
      <c r="B4" s="5" t="s">
        <v>34</v>
      </c>
      <c r="C4" s="5" t="s">
        <v>35</v>
      </c>
      <c r="D4" s="18">
        <v>130</v>
      </c>
      <c r="E4" s="5">
        <v>40</v>
      </c>
      <c r="F4" s="5" t="s">
        <v>36</v>
      </c>
      <c r="G4" s="27" t="b">
        <f t="shared" si="0"/>
        <v>0</v>
      </c>
      <c r="H4" s="12">
        <f t="shared" si="1"/>
        <v>130</v>
      </c>
      <c r="I4" s="25" t="str">
        <f t="shared" si="2"/>
        <v>Kitchen</v>
      </c>
      <c r="J4" s="20">
        <f t="shared" si="3"/>
        <v>46084</v>
      </c>
      <c r="K4" s="12" t="str">
        <f t="shared" si="4"/>
        <v>US</v>
      </c>
      <c r="L4" t="str">
        <f t="shared" si="5"/>
        <v>Coffee Maker Keurig</v>
      </c>
    </row>
    <row r="5" spans="1:13" x14ac:dyDescent="0.25">
      <c r="A5" s="8" t="s">
        <v>37</v>
      </c>
      <c r="B5" s="8" t="s">
        <v>96</v>
      </c>
      <c r="C5" s="8" t="s">
        <v>39</v>
      </c>
      <c r="D5" s="19">
        <v>900</v>
      </c>
      <c r="E5" s="8">
        <v>25</v>
      </c>
      <c r="F5" s="8" t="s">
        <v>28</v>
      </c>
      <c r="G5" s="27" t="b">
        <f t="shared" si="0"/>
        <v>0</v>
      </c>
      <c r="H5" s="12">
        <f t="shared" si="1"/>
        <v>900</v>
      </c>
      <c r="I5" s="25" t="str">
        <f t="shared" si="2"/>
        <v>Electronics</v>
      </c>
      <c r="J5" s="20">
        <f t="shared" si="3"/>
        <v>46123</v>
      </c>
      <c r="K5" s="12" t="str">
        <f t="shared" si="4"/>
        <v>US</v>
      </c>
      <c r="L5" t="str">
        <f t="shared" si="5"/>
        <v>Smartphone Samsung</v>
      </c>
    </row>
    <row r="6" spans="1:13" x14ac:dyDescent="0.25">
      <c r="A6" s="5" t="s">
        <v>40</v>
      </c>
      <c r="B6" s="5" t="s">
        <v>41</v>
      </c>
      <c r="C6" s="5" t="s">
        <v>42</v>
      </c>
      <c r="D6" s="18">
        <v>70</v>
      </c>
      <c r="E6" s="5">
        <v>20</v>
      </c>
      <c r="F6" s="5"/>
      <c r="G6" s="27" t="b">
        <f t="shared" si="0"/>
        <v>0</v>
      </c>
      <c r="H6" s="12">
        <f t="shared" si="1"/>
        <v>70</v>
      </c>
      <c r="I6" s="25" t="str">
        <f t="shared" si="2"/>
        <v>UNKNOWN</v>
      </c>
      <c r="J6" s="20">
        <f t="shared" si="3"/>
        <v>46164</v>
      </c>
      <c r="K6" s="12" t="str">
        <f t="shared" si="4"/>
        <v>US</v>
      </c>
      <c r="L6" t="str">
        <f t="shared" si="5"/>
        <v>Backpack North Face</v>
      </c>
    </row>
    <row r="7" spans="1:13" x14ac:dyDescent="0.25">
      <c r="A7" s="8" t="s">
        <v>43</v>
      </c>
      <c r="B7" s="8" t="s">
        <v>44</v>
      </c>
      <c r="C7" s="8" t="s">
        <v>45</v>
      </c>
      <c r="D7" s="19"/>
      <c r="E7" s="8">
        <v>45</v>
      </c>
      <c r="F7" s="16" t="s">
        <v>28</v>
      </c>
      <c r="G7" s="28" t="b">
        <f t="shared" si="0"/>
        <v>1</v>
      </c>
      <c r="H7" s="12" t="str">
        <f t="shared" si="1"/>
        <v>UNKNOWN</v>
      </c>
      <c r="I7" s="25" t="str">
        <f t="shared" si="2"/>
        <v>Electronics</v>
      </c>
      <c r="J7" s="20">
        <f t="shared" si="3"/>
        <v>46180</v>
      </c>
      <c r="K7" s="12" t="str">
        <f t="shared" si="4"/>
        <v>UK</v>
      </c>
      <c r="L7" t="str">
        <f t="shared" si="5"/>
        <v>Headphones Sony</v>
      </c>
    </row>
    <row r="8" spans="1:13" x14ac:dyDescent="0.25">
      <c r="A8" s="5" t="s">
        <v>47</v>
      </c>
      <c r="B8" s="5" t="s">
        <v>48</v>
      </c>
      <c r="C8" s="5" t="s">
        <v>49</v>
      </c>
      <c r="D8" s="18">
        <v>30</v>
      </c>
      <c r="E8" s="5">
        <v>5</v>
      </c>
      <c r="F8" s="5" t="s">
        <v>32</v>
      </c>
      <c r="G8" s="27" t="b">
        <f t="shared" si="0"/>
        <v>0</v>
      </c>
      <c r="H8" s="12">
        <f t="shared" si="1"/>
        <v>30</v>
      </c>
      <c r="I8" s="25" t="str">
        <f t="shared" si="2"/>
        <v>Fashion</v>
      </c>
      <c r="J8" s="20">
        <f t="shared" si="3"/>
        <v>46222</v>
      </c>
      <c r="K8" s="12" t="str">
        <f t="shared" si="4"/>
        <v>UK</v>
      </c>
      <c r="L8" t="str">
        <f t="shared" si="5"/>
        <v>T-shirt Adidas</v>
      </c>
    </row>
    <row r="9" spans="1:13" x14ac:dyDescent="0.25">
      <c r="A9" s="8" t="s">
        <v>50</v>
      </c>
      <c r="B9" s="8" t="s">
        <v>51</v>
      </c>
      <c r="C9" s="8" t="s">
        <v>52</v>
      </c>
      <c r="D9" s="19">
        <v>90</v>
      </c>
      <c r="E9" s="8">
        <v>35</v>
      </c>
      <c r="F9" s="8" t="s">
        <v>36</v>
      </c>
      <c r="G9" s="27" t="b">
        <f t="shared" si="0"/>
        <v>0</v>
      </c>
      <c r="H9" s="12">
        <f t="shared" si="1"/>
        <v>90</v>
      </c>
      <c r="I9" s="25" t="str">
        <f t="shared" si="2"/>
        <v>Kitchen</v>
      </c>
      <c r="J9" s="20">
        <f t="shared" si="3"/>
        <v>46257</v>
      </c>
      <c r="K9" s="12" t="str">
        <f t="shared" si="4"/>
        <v>UK</v>
      </c>
      <c r="L9" t="str">
        <f t="shared" si="5"/>
        <v>Blender Ninja</v>
      </c>
    </row>
    <row r="10" spans="1:13" x14ac:dyDescent="0.25">
      <c r="A10" s="5" t="s">
        <v>53</v>
      </c>
      <c r="B10" s="5" t="s">
        <v>54</v>
      </c>
      <c r="C10" s="5" t="s">
        <v>55</v>
      </c>
      <c r="D10" s="18">
        <v>500</v>
      </c>
      <c r="E10" s="5">
        <v>50</v>
      </c>
      <c r="F10" s="5" t="s">
        <v>28</v>
      </c>
      <c r="G10" s="27" t="b">
        <f t="shared" si="0"/>
        <v>0</v>
      </c>
      <c r="H10" s="12">
        <f t="shared" si="1"/>
        <v>500</v>
      </c>
      <c r="I10" s="25" t="str">
        <f t="shared" si="2"/>
        <v>Electronics</v>
      </c>
      <c r="J10" s="20">
        <f t="shared" si="3"/>
        <v>46270</v>
      </c>
      <c r="K10" s="12" t="str">
        <f t="shared" si="4"/>
        <v>UK</v>
      </c>
      <c r="L10" t="str">
        <f t="shared" si="5"/>
        <v>Tablet Apple</v>
      </c>
    </row>
    <row r="11" spans="1:13" x14ac:dyDescent="0.25">
      <c r="A11" s="8" t="s">
        <v>56</v>
      </c>
      <c r="B11" s="8" t="s">
        <v>57</v>
      </c>
      <c r="C11" s="8" t="s">
        <v>58</v>
      </c>
      <c r="D11" s="19">
        <v>130</v>
      </c>
      <c r="E11" s="8">
        <v>10</v>
      </c>
      <c r="F11" s="8" t="s">
        <v>59</v>
      </c>
      <c r="G11" s="27" t="b">
        <f t="shared" si="0"/>
        <v>0</v>
      </c>
      <c r="H11" s="12">
        <f t="shared" si="1"/>
        <v>130</v>
      </c>
      <c r="I11" s="25" t="str">
        <f t="shared" si="2"/>
        <v>Outdoor</v>
      </c>
      <c r="J11" s="20">
        <f>DATEVALUE(LEFT(A11,6)&amp;"-2026")</f>
        <v>46309</v>
      </c>
      <c r="K11" s="12" t="str">
        <f t="shared" si="4"/>
        <v>UK</v>
      </c>
      <c r="L11" t="str">
        <f t="shared" si="5"/>
        <v>Hiking Boots Timberland</v>
      </c>
    </row>
    <row r="12" spans="1:13" x14ac:dyDescent="0.25">
      <c r="A12" s="5" t="s">
        <v>60</v>
      </c>
      <c r="B12" s="5" t="s">
        <v>61</v>
      </c>
      <c r="C12" s="5" t="s">
        <v>62</v>
      </c>
      <c r="D12" s="18">
        <v>950</v>
      </c>
      <c r="E12" s="5">
        <v>25</v>
      </c>
      <c r="F12" s="5" t="s">
        <v>28</v>
      </c>
      <c r="G12" s="27" t="b">
        <f t="shared" si="0"/>
        <v>0</v>
      </c>
      <c r="H12" s="12">
        <f t="shared" si="1"/>
        <v>950</v>
      </c>
      <c r="I12" s="25" t="str">
        <f t="shared" si="2"/>
        <v>Electronics</v>
      </c>
      <c r="J12" s="20">
        <f t="shared" si="3"/>
        <v>46190</v>
      </c>
      <c r="K12" s="12" t="str">
        <f t="shared" si="4"/>
        <v>IN</v>
      </c>
      <c r="L12" t="str">
        <f t="shared" si="5"/>
        <v>Laptop HP</v>
      </c>
    </row>
    <row r="13" spans="1:13" x14ac:dyDescent="0.25">
      <c r="A13" s="8" t="s">
        <v>63</v>
      </c>
      <c r="B13" s="8" t="s">
        <v>30</v>
      </c>
      <c r="C13" s="8" t="s">
        <v>49</v>
      </c>
      <c r="D13" s="19">
        <v>90</v>
      </c>
      <c r="E13" s="8">
        <v>40</v>
      </c>
      <c r="F13" s="8"/>
      <c r="G13" s="27" t="b">
        <f t="shared" si="0"/>
        <v>0</v>
      </c>
      <c r="H13" s="12">
        <f t="shared" si="1"/>
        <v>90</v>
      </c>
      <c r="I13" s="25" t="str">
        <f t="shared" si="2"/>
        <v>UNKNOWN</v>
      </c>
      <c r="J13" s="20">
        <f t="shared" si="3"/>
        <v>46351</v>
      </c>
      <c r="K13" s="12" t="str">
        <f t="shared" si="4"/>
        <v>AU</v>
      </c>
      <c r="L13" t="str">
        <f t="shared" si="5"/>
        <v>Sneakers Adidas</v>
      </c>
    </row>
    <row r="14" spans="1:13" x14ac:dyDescent="0.25">
      <c r="A14" s="5" t="s">
        <v>64</v>
      </c>
      <c r="B14" s="5" t="s">
        <v>34</v>
      </c>
      <c r="C14" s="5" t="s">
        <v>65</v>
      </c>
      <c r="D14" s="18">
        <v>120</v>
      </c>
      <c r="E14" s="5">
        <v>35</v>
      </c>
      <c r="F14" s="5"/>
      <c r="G14" s="27" t="b">
        <f t="shared" si="0"/>
        <v>0</v>
      </c>
      <c r="H14" s="12">
        <f t="shared" si="1"/>
        <v>120</v>
      </c>
      <c r="I14" s="25" t="str">
        <f t="shared" si="2"/>
        <v>UNKNOWN</v>
      </c>
      <c r="J14" s="20">
        <f t="shared" si="3"/>
        <v>46364</v>
      </c>
      <c r="K14" s="12" t="str">
        <f t="shared" si="4"/>
        <v>DE</v>
      </c>
      <c r="L14" t="str">
        <f t="shared" si="5"/>
        <v>Coffee Maker Nespresso</v>
      </c>
    </row>
    <row r="15" spans="1:13" x14ac:dyDescent="0.25">
      <c r="A15" s="8" t="s">
        <v>66</v>
      </c>
      <c r="B15" s="8" t="s">
        <v>67</v>
      </c>
      <c r="C15" s="8" t="s">
        <v>68</v>
      </c>
      <c r="D15" s="19">
        <v>150</v>
      </c>
      <c r="E15" s="8">
        <v>15</v>
      </c>
      <c r="F15" s="16" t="s">
        <v>28</v>
      </c>
      <c r="G15" s="27" t="b">
        <f t="shared" si="0"/>
        <v>0</v>
      </c>
      <c r="H15" s="12">
        <f t="shared" si="1"/>
        <v>150</v>
      </c>
      <c r="I15" s="25" t="str">
        <f t="shared" si="2"/>
        <v>Electronics</v>
      </c>
      <c r="J15" s="20">
        <f t="shared" si="3"/>
        <v>46071</v>
      </c>
      <c r="K15" s="12" t="str">
        <f t="shared" si="4"/>
        <v>CA</v>
      </c>
      <c r="L15" t="str">
        <f t="shared" si="5"/>
        <v>Smartwatch Fitbit</v>
      </c>
    </row>
    <row r="16" spans="1:13" x14ac:dyDescent="0.25">
      <c r="A16" s="5" t="s">
        <v>69</v>
      </c>
      <c r="B16" s="5" t="s">
        <v>44</v>
      </c>
      <c r="C16" s="5" t="s">
        <v>71</v>
      </c>
      <c r="D16" s="18">
        <v>250</v>
      </c>
      <c r="E16" s="5">
        <v>20</v>
      </c>
      <c r="F16" s="17" t="s">
        <v>28</v>
      </c>
      <c r="G16" s="27" t="b">
        <f t="shared" si="0"/>
        <v>0</v>
      </c>
      <c r="H16" s="12">
        <f t="shared" si="1"/>
        <v>250</v>
      </c>
      <c r="I16" s="25" t="str">
        <f t="shared" si="2"/>
        <v>Electronics</v>
      </c>
      <c r="J16" s="20">
        <f t="shared" si="3"/>
        <v>46128</v>
      </c>
      <c r="K16" s="12" t="str">
        <f t="shared" si="4"/>
        <v>ES</v>
      </c>
      <c r="L16" t="str">
        <f t="shared" si="5"/>
        <v>Headphones Bose</v>
      </c>
    </row>
    <row r="17" spans="1:12" x14ac:dyDescent="0.25">
      <c r="A17" s="8" t="s">
        <v>72</v>
      </c>
      <c r="B17" s="8" t="s">
        <v>73</v>
      </c>
      <c r="C17" s="8" t="s">
        <v>74</v>
      </c>
      <c r="D17" s="19">
        <v>50</v>
      </c>
      <c r="E17" s="8">
        <v>35</v>
      </c>
      <c r="F17" s="8" t="s">
        <v>75</v>
      </c>
      <c r="G17" s="27" t="b">
        <f t="shared" si="0"/>
        <v>0</v>
      </c>
      <c r="H17" s="12">
        <f t="shared" si="1"/>
        <v>50</v>
      </c>
      <c r="I17" s="25" t="str">
        <f t="shared" si="2"/>
        <v>Accessories</v>
      </c>
      <c r="J17" s="20">
        <f t="shared" si="3"/>
        <v>46255</v>
      </c>
      <c r="K17" s="12" t="str">
        <f t="shared" si="4"/>
        <v>CA</v>
      </c>
      <c r="L17" t="str">
        <f t="shared" si="5"/>
        <v>Laptop Bag Samsonite</v>
      </c>
    </row>
    <row r="18" spans="1:12" x14ac:dyDescent="0.25">
      <c r="A18" s="5" t="s">
        <v>76</v>
      </c>
      <c r="B18" s="5" t="s">
        <v>67</v>
      </c>
      <c r="C18" s="5" t="s">
        <v>77</v>
      </c>
      <c r="D18" s="18">
        <v>160</v>
      </c>
      <c r="E18" s="5">
        <v>15</v>
      </c>
      <c r="F18" s="17" t="s">
        <v>28</v>
      </c>
      <c r="G18" s="27" t="b">
        <f t="shared" si="0"/>
        <v>0</v>
      </c>
      <c r="H18" s="12">
        <f t="shared" si="1"/>
        <v>160</v>
      </c>
      <c r="I18" s="25" t="str">
        <f t="shared" si="2"/>
        <v>Electronics</v>
      </c>
      <c r="J18" s="20">
        <f t="shared" si="3"/>
        <v>46254</v>
      </c>
      <c r="K18" s="12" t="str">
        <f t="shared" si="4"/>
        <v>CN</v>
      </c>
      <c r="L18" t="str">
        <f t="shared" si="5"/>
        <v>Smartwatch Huawei</v>
      </c>
    </row>
    <row r="19" spans="1:12" x14ac:dyDescent="0.25">
      <c r="A19" s="8" t="s">
        <v>78</v>
      </c>
      <c r="B19" s="8" t="s">
        <v>61</v>
      </c>
      <c r="C19" s="8" t="s">
        <v>79</v>
      </c>
      <c r="D19" s="19">
        <v>980</v>
      </c>
      <c r="E19" s="8">
        <v>10</v>
      </c>
      <c r="F19" s="8" t="s">
        <v>28</v>
      </c>
      <c r="G19" s="27" t="b">
        <f t="shared" si="0"/>
        <v>0</v>
      </c>
      <c r="H19" s="12">
        <f t="shared" si="1"/>
        <v>980</v>
      </c>
      <c r="I19" s="25" t="str">
        <f t="shared" si="2"/>
        <v>Electronics</v>
      </c>
      <c r="J19" s="20">
        <f t="shared" si="3"/>
        <v>46049</v>
      </c>
      <c r="K19" s="12" t="str">
        <f t="shared" si="4"/>
        <v>IT</v>
      </c>
      <c r="L19" t="str">
        <f t="shared" si="5"/>
        <v>Laptop Asus</v>
      </c>
    </row>
    <row r="20" spans="1:12" x14ac:dyDescent="0.25">
      <c r="A20" s="5" t="s">
        <v>80</v>
      </c>
      <c r="B20" s="5" t="s">
        <v>81</v>
      </c>
      <c r="C20" s="5" t="s">
        <v>82</v>
      </c>
      <c r="D20" s="18">
        <v>150</v>
      </c>
      <c r="E20" s="5">
        <v>15</v>
      </c>
      <c r="F20" s="5" t="s">
        <v>32</v>
      </c>
      <c r="G20" s="27" t="b">
        <f t="shared" si="0"/>
        <v>0</v>
      </c>
      <c r="H20" s="12">
        <f t="shared" si="1"/>
        <v>150</v>
      </c>
      <c r="I20" s="25" t="str">
        <f t="shared" si="2"/>
        <v>Fashion</v>
      </c>
      <c r="J20" s="20">
        <f t="shared" si="3"/>
        <v>46082</v>
      </c>
      <c r="K20" s="12" t="str">
        <f t="shared" si="4"/>
        <v>UK</v>
      </c>
      <c r="L20" t="str">
        <f t="shared" si="5"/>
        <v>Sunglasses Oakley</v>
      </c>
    </row>
    <row r="21" spans="1:12" x14ac:dyDescent="0.25">
      <c r="A21" s="8" t="s">
        <v>83</v>
      </c>
      <c r="B21" s="8" t="s">
        <v>84</v>
      </c>
      <c r="C21" s="8" t="s">
        <v>85</v>
      </c>
      <c r="D21" s="19"/>
      <c r="E21" s="8">
        <v>10</v>
      </c>
      <c r="F21" s="8" t="s">
        <v>59</v>
      </c>
      <c r="G21" s="28" t="b">
        <f t="shared" si="0"/>
        <v>1</v>
      </c>
      <c r="H21" s="12" t="str">
        <f t="shared" si="1"/>
        <v>UNKNOWN</v>
      </c>
      <c r="I21" s="25" t="str">
        <f t="shared" si="2"/>
        <v>Outdoor</v>
      </c>
      <c r="J21" s="20">
        <f t="shared" si="3"/>
        <v>46248</v>
      </c>
      <c r="K21" s="12" t="str">
        <f t="shared" si="4"/>
        <v>US</v>
      </c>
      <c r="L21" t="str">
        <f t="shared" si="5"/>
        <v>Camping Tent Coleman</v>
      </c>
    </row>
    <row r="22" spans="1:12" x14ac:dyDescent="0.25">
      <c r="A22" s="5" t="s">
        <v>86</v>
      </c>
      <c r="B22" s="5" t="s">
        <v>87</v>
      </c>
      <c r="C22" s="5" t="s">
        <v>88</v>
      </c>
      <c r="D22" s="18">
        <v>700</v>
      </c>
      <c r="E22" s="5">
        <v>50</v>
      </c>
      <c r="F22" s="5" t="s">
        <v>28</v>
      </c>
      <c r="G22" s="27" t="b">
        <f t="shared" si="0"/>
        <v>0</v>
      </c>
      <c r="H22" s="12">
        <f t="shared" si="1"/>
        <v>700</v>
      </c>
      <c r="I22" s="25" t="str">
        <f t="shared" si="2"/>
        <v>Electronics</v>
      </c>
      <c r="J22" s="20">
        <f t="shared" si="3"/>
        <v>46156</v>
      </c>
      <c r="K22" s="12" t="str">
        <f t="shared" si="4"/>
        <v>RU</v>
      </c>
      <c r="L22" t="str">
        <f t="shared" si="5"/>
        <v>Camera Nikon</v>
      </c>
    </row>
    <row r="23" spans="1:12" x14ac:dyDescent="0.25">
      <c r="A23" s="8" t="s">
        <v>89</v>
      </c>
      <c r="B23" s="8" t="s">
        <v>90</v>
      </c>
      <c r="C23" s="8" t="s">
        <v>91</v>
      </c>
      <c r="D23" s="19">
        <v>80</v>
      </c>
      <c r="E23" s="8">
        <v>20</v>
      </c>
      <c r="F23" s="8" t="s">
        <v>36</v>
      </c>
      <c r="G23" s="27" t="b">
        <f t="shared" si="0"/>
        <v>0</v>
      </c>
      <c r="H23" s="12">
        <f t="shared" si="1"/>
        <v>80</v>
      </c>
      <c r="I23" s="25" t="str">
        <f t="shared" si="2"/>
        <v>Kitchen</v>
      </c>
      <c r="J23" s="20">
        <f t="shared" si="3"/>
        <v>46031</v>
      </c>
      <c r="K23" s="12" t="str">
        <f t="shared" si="4"/>
        <v>CA</v>
      </c>
      <c r="L23" t="str">
        <f t="shared" si="5"/>
        <v>Microwave Panasonic</v>
      </c>
    </row>
    <row r="24" spans="1:12" x14ac:dyDescent="0.25">
      <c r="A24" s="5" t="s">
        <v>92</v>
      </c>
      <c r="B24" s="5" t="s">
        <v>93</v>
      </c>
      <c r="C24" s="5" t="s">
        <v>94</v>
      </c>
      <c r="D24" s="18">
        <v>150</v>
      </c>
      <c r="E24" s="5">
        <v>30</v>
      </c>
      <c r="F24" s="5"/>
      <c r="G24" s="27" t="b">
        <f t="shared" si="0"/>
        <v>0</v>
      </c>
      <c r="H24" s="12">
        <f t="shared" si="1"/>
        <v>150</v>
      </c>
      <c r="I24" s="25" t="str">
        <f>IF(ISBLANK(F24),"UNKNOWN",F24)</f>
        <v>UNKNOWN</v>
      </c>
      <c r="J24" s="20">
        <f t="shared" si="3"/>
        <v>46222</v>
      </c>
      <c r="K24" s="12" t="str">
        <f t="shared" si="4"/>
        <v>BR</v>
      </c>
      <c r="L24" t="str">
        <f t="shared" si="5"/>
        <v>Fitness Tracker Xiaomi</v>
      </c>
    </row>
    <row r="25" spans="1:12" x14ac:dyDescent="0.25">
      <c r="A25" s="5" t="s">
        <v>95</v>
      </c>
      <c r="B25" s="5" t="s">
        <v>96</v>
      </c>
      <c r="C25" s="5" t="s">
        <v>97</v>
      </c>
      <c r="D25" s="18">
        <v>800</v>
      </c>
      <c r="E25" s="5">
        <v>45</v>
      </c>
      <c r="F25" s="5" t="s">
        <v>28</v>
      </c>
      <c r="G25" s="27" t="b">
        <f t="shared" si="0"/>
        <v>0</v>
      </c>
      <c r="H25" s="12">
        <f t="shared" si="1"/>
        <v>800</v>
      </c>
      <c r="I25" s="25" t="str">
        <f t="shared" si="2"/>
        <v>Electronics</v>
      </c>
      <c r="J25" s="20">
        <f t="shared" si="3"/>
        <v>46294</v>
      </c>
      <c r="K25" s="12" t="str">
        <f t="shared" si="4"/>
        <v>CA</v>
      </c>
      <c r="L25" t="str">
        <f t="shared" si="5"/>
        <v>Smartphone Google</v>
      </c>
    </row>
    <row r="26" spans="1:12" x14ac:dyDescent="0.25">
      <c r="A26" s="8" t="s">
        <v>98</v>
      </c>
      <c r="B26" s="8" t="s">
        <v>81</v>
      </c>
      <c r="C26" s="8" t="s">
        <v>99</v>
      </c>
      <c r="D26" s="19"/>
      <c r="E26" s="8">
        <v>25</v>
      </c>
      <c r="F26" s="8" t="s">
        <v>32</v>
      </c>
      <c r="G26" s="28" t="b">
        <f t="shared" si="0"/>
        <v>1</v>
      </c>
      <c r="H26" s="12" t="str">
        <f t="shared" si="1"/>
        <v>UNKNOWN</v>
      </c>
      <c r="I26" s="25" t="str">
        <f t="shared" si="2"/>
        <v>Fashion</v>
      </c>
      <c r="J26" s="20">
        <f t="shared" si="3"/>
        <v>46176</v>
      </c>
      <c r="K26" s="12" t="str">
        <f t="shared" si="4"/>
        <v>CA</v>
      </c>
      <c r="L26" t="str">
        <f t="shared" si="5"/>
        <v>Sunglasses Ray-Ban</v>
      </c>
    </row>
    <row r="27" spans="1:12" x14ac:dyDescent="0.25">
      <c r="A27" s="5" t="s">
        <v>100</v>
      </c>
      <c r="B27" s="5" t="s">
        <v>51</v>
      </c>
      <c r="C27" s="5" t="s">
        <v>101</v>
      </c>
      <c r="D27" s="18">
        <v>400</v>
      </c>
      <c r="E27" s="5">
        <v>40</v>
      </c>
      <c r="F27" s="5" t="s">
        <v>36</v>
      </c>
      <c r="G27" s="27" t="b">
        <f t="shared" si="0"/>
        <v>0</v>
      </c>
      <c r="H27" s="12">
        <f t="shared" si="1"/>
        <v>400</v>
      </c>
      <c r="I27" s="25" t="str">
        <f t="shared" si="2"/>
        <v>Kitchen</v>
      </c>
      <c r="J27" s="20">
        <f t="shared" si="3"/>
        <v>46214</v>
      </c>
      <c r="K27" s="12" t="str">
        <f t="shared" si="4"/>
        <v>CA</v>
      </c>
      <c r="L27" t="str">
        <f t="shared" si="5"/>
        <v>Blender Vitamix</v>
      </c>
    </row>
    <row r="28" spans="1:12" x14ac:dyDescent="0.25">
      <c r="A28" s="5" t="s">
        <v>102</v>
      </c>
      <c r="B28" s="5" t="s">
        <v>103</v>
      </c>
      <c r="C28" s="5" t="s">
        <v>104</v>
      </c>
      <c r="D28" s="18">
        <v>60</v>
      </c>
      <c r="E28" s="5">
        <v>30</v>
      </c>
      <c r="F28" s="5" t="s">
        <v>32</v>
      </c>
      <c r="G28" s="27" t="b">
        <f t="shared" si="0"/>
        <v>0</v>
      </c>
      <c r="H28" s="12">
        <f t="shared" si="1"/>
        <v>60</v>
      </c>
      <c r="I28" s="25" t="str">
        <f t="shared" si="2"/>
        <v>Fashion</v>
      </c>
      <c r="J28" s="20">
        <f t="shared" si="3"/>
        <v>46088</v>
      </c>
      <c r="K28" s="12" t="str">
        <f t="shared" si="4"/>
        <v>CA</v>
      </c>
      <c r="L28" t="str">
        <f t="shared" si="5"/>
        <v>Dress Zara</v>
      </c>
    </row>
    <row r="29" spans="1:12" x14ac:dyDescent="0.25">
      <c r="A29" s="8" t="s">
        <v>105</v>
      </c>
      <c r="B29" s="8" t="s">
        <v>106</v>
      </c>
      <c r="C29" s="8" t="s">
        <v>107</v>
      </c>
      <c r="D29" s="19">
        <v>40</v>
      </c>
      <c r="E29" s="8">
        <v>10</v>
      </c>
      <c r="F29" s="8" t="s">
        <v>36</v>
      </c>
      <c r="G29" s="27" t="b">
        <f t="shared" si="0"/>
        <v>0</v>
      </c>
      <c r="H29" s="12">
        <f t="shared" si="1"/>
        <v>40</v>
      </c>
      <c r="I29" s="25" t="str">
        <f t="shared" si="2"/>
        <v>Kitchen</v>
      </c>
      <c r="J29" s="20">
        <f t="shared" si="3"/>
        <v>46125</v>
      </c>
      <c r="K29" s="12" t="str">
        <f t="shared" si="4"/>
        <v>CA</v>
      </c>
      <c r="L29" t="str">
        <f t="shared" si="5"/>
        <v>Toaster Hamilton</v>
      </c>
    </row>
    <row r="30" spans="1:12" x14ac:dyDescent="0.25">
      <c r="A30" s="5" t="s">
        <v>108</v>
      </c>
      <c r="B30" s="5" t="s">
        <v>93</v>
      </c>
      <c r="C30" s="5" t="s">
        <v>109</v>
      </c>
      <c r="D30" s="18">
        <v>130</v>
      </c>
      <c r="E30" s="5">
        <v>5</v>
      </c>
      <c r="F30" s="5" t="s">
        <v>28</v>
      </c>
      <c r="G30" s="27" t="b">
        <f t="shared" si="0"/>
        <v>0</v>
      </c>
      <c r="H30" s="12">
        <f t="shared" si="1"/>
        <v>130</v>
      </c>
      <c r="I30" s="25" t="str">
        <f t="shared" si="2"/>
        <v>Electronics</v>
      </c>
      <c r="J30" s="20">
        <f t="shared" si="3"/>
        <v>46166</v>
      </c>
      <c r="K30" s="12" t="str">
        <f t="shared" si="4"/>
        <v>CA</v>
      </c>
      <c r="L30" t="str">
        <f t="shared" si="5"/>
        <v>Fitness Tracker Garmin</v>
      </c>
    </row>
    <row r="31" spans="1:12" x14ac:dyDescent="0.25">
      <c r="A31" s="8" t="s">
        <v>110</v>
      </c>
      <c r="B31" s="8" t="s">
        <v>111</v>
      </c>
      <c r="C31" s="8" t="s">
        <v>112</v>
      </c>
      <c r="D31" s="19">
        <v>50</v>
      </c>
      <c r="E31" s="8">
        <v>50</v>
      </c>
      <c r="F31" s="8" t="s">
        <v>32</v>
      </c>
      <c r="G31" s="27" t="b">
        <f t="shared" si="0"/>
        <v>0</v>
      </c>
      <c r="H31" s="12">
        <f t="shared" si="1"/>
        <v>50</v>
      </c>
      <c r="I31" s="25" t="str">
        <f t="shared" si="2"/>
        <v>Fashion</v>
      </c>
      <c r="J31" s="20">
        <f t="shared" si="3"/>
        <v>46358</v>
      </c>
      <c r="K31" s="12" t="str">
        <f t="shared" si="4"/>
        <v>CA</v>
      </c>
      <c r="L31" t="str">
        <f t="shared" si="5"/>
        <v>Jeans Levi's</v>
      </c>
    </row>
    <row r="32" spans="1:12" x14ac:dyDescent="0.25">
      <c r="A32" s="8" t="s">
        <v>113</v>
      </c>
      <c r="B32" s="8" t="s">
        <v>114</v>
      </c>
      <c r="C32" s="8" t="s">
        <v>115</v>
      </c>
      <c r="D32" s="19">
        <v>100</v>
      </c>
      <c r="E32" s="8">
        <v>20</v>
      </c>
      <c r="F32" s="8" t="s">
        <v>75</v>
      </c>
      <c r="G32" s="27" t="b">
        <f t="shared" si="0"/>
        <v>0</v>
      </c>
      <c r="H32" s="12">
        <f t="shared" si="1"/>
        <v>100</v>
      </c>
      <c r="I32" s="25" t="str">
        <f t="shared" si="2"/>
        <v>Accessories</v>
      </c>
      <c r="J32" s="20">
        <f t="shared" si="3"/>
        <v>46212</v>
      </c>
      <c r="K32" s="12" t="str">
        <f t="shared" si="4"/>
        <v>FR</v>
      </c>
      <c r="L32" t="str">
        <f t="shared" si="5"/>
        <v>Watch Casio</v>
      </c>
    </row>
    <row r="33" spans="1:8" x14ac:dyDescent="0.25">
      <c r="H33"/>
    </row>
    <row r="34" spans="1:8" x14ac:dyDescent="0.25">
      <c r="H34"/>
    </row>
    <row r="35" spans="1:8" x14ac:dyDescent="0.25">
      <c r="H35"/>
    </row>
    <row r="39" spans="1:8" x14ac:dyDescent="0.25">
      <c r="A39" s="9" t="s">
        <v>117</v>
      </c>
    </row>
    <row r="40" spans="1:8" x14ac:dyDescent="0.25">
      <c r="A40" s="10" t="s">
        <v>118</v>
      </c>
      <c r="B40" s="10">
        <f>COUNTBLANK(D2:D35)</f>
        <v>6</v>
      </c>
      <c r="C40" s="14" t="s">
        <v>123</v>
      </c>
    </row>
    <row r="41" spans="1:8" x14ac:dyDescent="0.25">
      <c r="A41" s="29" t="s">
        <v>119</v>
      </c>
      <c r="B41" s="29"/>
      <c r="C41" s="29"/>
      <c r="D41" s="29"/>
      <c r="E41" s="29"/>
      <c r="F41" s="29"/>
      <c r="G41" s="29"/>
    </row>
    <row r="42" spans="1:8" x14ac:dyDescent="0.25">
      <c r="A42" s="29"/>
      <c r="B42" s="29"/>
      <c r="C42" s="29"/>
      <c r="D42" s="29"/>
      <c r="E42" s="29"/>
      <c r="F42" s="29"/>
      <c r="G42" s="29"/>
    </row>
    <row r="43" spans="1:8" x14ac:dyDescent="0.25">
      <c r="A43" s="29"/>
      <c r="B43" s="29"/>
      <c r="C43" s="29"/>
      <c r="D43" s="29"/>
      <c r="E43" s="29"/>
      <c r="F43" s="29"/>
      <c r="G43" s="29"/>
    </row>
    <row r="44" spans="1:8" x14ac:dyDescent="0.25">
      <c r="A44" s="29"/>
      <c r="B44" s="29"/>
      <c r="C44" s="29"/>
      <c r="D44" s="29"/>
      <c r="E44" s="29"/>
      <c r="F44" s="29"/>
      <c r="G44" s="29"/>
    </row>
    <row r="46" spans="1:8" x14ac:dyDescent="0.25">
      <c r="A46" s="13" t="s">
        <v>121</v>
      </c>
    </row>
    <row r="47" spans="1:8" x14ac:dyDescent="0.25">
      <c r="A47" s="14" t="s">
        <v>124</v>
      </c>
    </row>
    <row r="48" spans="1:8" x14ac:dyDescent="0.25">
      <c r="A48" s="14" t="s">
        <v>125</v>
      </c>
    </row>
  </sheetData>
  <mergeCells count="1">
    <mergeCell ref="A41:G44"/>
  </mergeCells>
  <conditionalFormatting sqref="D2:D32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{10F350A4-E68C-45C0-B0AA-DA8F28D69EE7}</x14:id>
        </ext>
      </extLst>
    </cfRule>
  </conditionalFormatting>
  <conditionalFormatting sqref="F2:F32">
    <cfRule type="containsBlanks" dxfId="0" priority="3">
      <formula>LEN(TRIM(F2))=0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F350A4-E68C-45C0-B0AA-DA8F28D69EE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D2:D32</xm:sqref>
        </x14:conditionalFormatting>
        <x14:conditionalFormatting xmlns:xm="http://schemas.microsoft.com/office/excel/2006/main">
          <x14:cfRule type="containsText" priority="1" operator="containsText" id="{98D11347-4313-4619-8E8F-859D5D342AD7}">
            <xm:f>NOT(ISERROR(SEARCH($F$7,F2)))</xm:f>
            <xm:f>$F$7</xm:f>
            <x14:dxf>
              <fill>
                <patternFill>
                  <bgColor theme="8"/>
                </patternFill>
              </fill>
            </x14:dxf>
          </x14:cfRule>
          <xm:sqref>F2:F32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AJITH</dc:creator>
  <cp:lastModifiedBy>DIVYA AJITH</cp:lastModifiedBy>
  <dcterms:created xsi:type="dcterms:W3CDTF">2026-10-18T22:41:12Z</dcterms:created>
  <dcterms:modified xsi:type="dcterms:W3CDTF">2026-10-27T13:04:32Z</dcterms:modified>
</cp:coreProperties>
</file>